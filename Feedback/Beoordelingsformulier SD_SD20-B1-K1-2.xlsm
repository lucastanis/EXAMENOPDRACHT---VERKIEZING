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NBY\Downloads\"/>
    </mc:Choice>
  </mc:AlternateContent>
  <xr:revisionPtr revIDLastSave="0" documentId="8_{76A965B2-3041-4E45-8112-AF6E09CDC4C8}" xr6:coauthVersionLast="47" xr6:coauthVersionMax="47" xr10:uidLastSave="{00000000-0000-0000-0000-000000000000}"/>
  <bookViews>
    <workbookView xWindow="-108" yWindow="-108" windowWidth="23256" windowHeight="12456" tabRatio="840" firstSheet="5"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3" sheetId="96" r:id="rId8"/>
    <sheet name="B1-K1-W4" sheetId="97" r:id="rId9"/>
    <sheet name="B1-K1-W2" sheetId="95" r:id="rId10"/>
    <sheet name="B1-K1-W5" sheetId="98" r:id="rId11"/>
  </sheets>
  <definedNames>
    <definedName name="_xlnm.Print_Area" localSheetId="6">'B1-K1-W1'!$B:$G</definedName>
    <definedName name="_xlnm.Print_Area" localSheetId="9">'B1-K1-W2'!$B:$G</definedName>
    <definedName name="_xlnm.Print_Area" localSheetId="7">'B1-K1-W3'!$B:$G</definedName>
    <definedName name="_xlnm.Print_Area" localSheetId="8">'B1-K1-W4'!$B:$G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<sst xmlns="http://schemas.openxmlformats.org/spreadsheetml/2006/main" count="568" uniqueCount="215">
  <si>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</si>
  <si>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</si>
  <si>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</si>
  <si>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</si>
  <si>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</si>
  <si>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</si>
  <si>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</si>
  <si>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</si>
  <si>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</si>
  <si>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</si>
  <si>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</si>
  <si>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</si>
  <si>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</si>
  <si>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</si>
  <si>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</si>
  <si>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</si>
  <si>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</si>
  <si>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</si>
  <si>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</si>
  <si>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</si>
  <si>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</si>
  <si>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</si>
  <si>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</si>
  <si>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</si>
  <si>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</si>
  <si>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</si>
  <si>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</si>
  <si>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</si>
  <si>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</si>
  <si>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</si>
  <si>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</si>
  <si>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</si>
  <si>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</si>
  <si>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</si>
  <si>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</si>
  <si>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</si>
  <si>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</si>
  <si>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</si>
  <si>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</si>
  <si>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</si>
  <si>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</si>
  <si>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</si>
  <si>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</si>
  <si>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</si>
  <si>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</si>
  <si>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</si>
  <si>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</si>
  <si>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</si>
  <si>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</si>
  <si>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</si>
  <si>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</si>
  <si>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</si>
  <si>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</si>
  <si>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</si>
  <si>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</si>
  <si>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</si>
  <si>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</si>
  <si>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</si>
  <si>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</si>
  <si>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</si>
  <si>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</si>
  <si>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</si>
  <si>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</si>
  <si>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</si>
  <si>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</si>
  <si>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</si>
  <si>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</si>
  <si>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</si>
  <si>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</si>
  <si>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</si>
  <si>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</si>
  <si>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</si>
  <si>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</si>
  <si>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</si>
  <si>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</si>
  <si>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</si>
  <si>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</si>
  <si>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</si>
  <si>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</si>
  <si>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</si>
  <si>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</si>
  <si>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</si>
  <si>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</si>
  <si>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</si>
  <si>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</si>
  <si>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</si>
  <si>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</si>
  <si>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</si>
  <si>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</si>
  <si>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</si>
  <si>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</si>
  <si>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</si>
  <si>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</si>
  <si>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</si>
  <si>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</si>
  <si>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</si>
  <si>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</si>
  <si>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</si>
  <si>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</si>
  <si>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</si>
  <si>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</si>
  <si>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</si>
  <si>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</si>
  <si>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</si>
  <si>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</si>
  <si>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</si>
  <si>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</si>
  <si>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</si>
  <si>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</si>
  <si>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</si>
  <si>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</si>
  <si>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</si>
  <si>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</si>
  <si>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</si>
  <si>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</si>
  <si>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</si>
  <si>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</si>
  <si>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</si>
  <si>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</si>
  <si>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</si>
  <si>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</si>
  <si>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</si>
  <si>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</si>
  <si>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</si>
  <si>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</si>
  <si>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</si>
  <si>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</si>
  <si>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</si>
  <si>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</si>
  <si>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</si>
  <si>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</si>
  <si>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</si>
  <si>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</si>
  <si>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</si>
  <si>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</si>
  <si>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</si>
  <si>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</si>
  <si>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</si>
  <si>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</si>
  <si>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</si>
  <si>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</si>
  <si>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</si>
  <si>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</si>
  <si>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</si>
  <si>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</si>
  <si>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</si>
  <si>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</si>
  <si>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</si>
  <si>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</si>
  <si>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</si>
  <si>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</si>
  <si>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</si>
  <si>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</si>
  <si>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</si>
  <si>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</si>
  <si>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</si>
  <si>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</si>
  <si>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</si>
  <si>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</si>
  <si>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</si>
  <si>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</si>
  <si>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</si>
  <si>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</si>
  <si>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</si>
  <si>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</si>
  <si>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</si>
  <si>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</si>
  <si>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</si>
  <si>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</si>
  <si>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</si>
  <si>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</si>
  <si>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</si>
  <si>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</si>
  <si>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</si>
  <si>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</si>
  <si>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</si>
  <si>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</si>
  <si>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</si>
  <si>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</si>
  <si>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</si>
  <si>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</si>
  <si>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</si>
  <si>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</si>
  <si>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</si>
  <si>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</si>
  <si>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</si>
  <si>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</si>
  <si>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</si>
  <si>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</si>
  <si>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</si>
  <si>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</si>
  <si>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</si>
  <si>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</si>
  <si>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</si>
  <si>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</si>
  <si>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</si>
  <si>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</si>
  <si>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</si>
  <si>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</si>
  <si>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</si>
  <si>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</si>
  <si>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</si>
  <si>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</si>
  <si>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</si>
  <si>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</si>
  <si>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</si>
  <si>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</si>
  <si>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</si>
  <si>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</si>
  <si>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</si>
  <si>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</si>
  <si>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erim</t>
  </si>
  <si>
    <t>3b</t>
  </si>
  <si>
    <t>amerecnio</t>
  </si>
  <si>
    <t>amerencio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</si>
</sst>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3'!$I$24" lockText="1" noThreeD="1"/>
</file>

<file path=xl/ctrlProps/ctrlProp23.xml><?xml version="1.0" encoding="utf-8"?>
<formControlPr xmlns="http://schemas.microsoft.com/office/spreadsheetml/2009/9/main" objectType="CheckBox" fmlaLink="'B1-K1-W3'!$J$24" lockText="1" noThreeD="1"/>
</file>

<file path=xl/ctrlProps/ctrlProp24.xml><?xml version="1.0" encoding="utf-8"?>
<formControlPr xmlns="http://schemas.microsoft.com/office/spreadsheetml/2009/9/main" objectType="CheckBox" fmlaLink="'B1-K1-W3'!$K$24" lockText="1" noThreeD="1"/>
</file>

<file path=xl/ctrlProps/ctrlProp25.xml><?xml version="1.0" encoding="utf-8"?>
<formControlPr xmlns="http://schemas.microsoft.com/office/spreadsheetml/2009/9/main" objectType="CheckBox" checked="Checked" fmlaLink="'B1-K1-W3'!$L$24" lockText="1" noThreeD="1"/>
</file>

<file path=xl/ctrlProps/ctrlProp26.xml><?xml version="1.0" encoding="utf-8"?>
<formControlPr xmlns="http://schemas.microsoft.com/office/spreadsheetml/2009/9/main" objectType="CheckBox" fmlaLink="'B1-K1-W3'!$I$25" lockText="1" noThreeD="1"/>
</file>

<file path=xl/ctrlProps/ctrlProp27.xml><?xml version="1.0" encoding="utf-8"?>
<formControlPr xmlns="http://schemas.microsoft.com/office/spreadsheetml/2009/9/main" objectType="CheckBox" fmlaLink="'B1-K1-W3'!$J$25" lockText="1" noThreeD="1"/>
</file>

<file path=xl/ctrlProps/ctrlProp28.xml><?xml version="1.0" encoding="utf-8"?>
<formControlPr xmlns="http://schemas.microsoft.com/office/spreadsheetml/2009/9/main" objectType="CheckBox" checked="Checked" fmlaLink="'B1-K1-W3'!$K$25" lockText="1" noThreeD="1"/>
</file>

<file path=xl/ctrlProps/ctrlProp29.xml><?xml version="1.0" encoding="utf-8"?>
<formControlPr xmlns="http://schemas.microsoft.com/office/spreadsheetml/2009/9/main" objectType="CheckBox" fmlaLink="'B1-K1-W3'!$L$25" lockText="1" noThreeD="1"/>
</file>

<file path=xl/ctrlProps/ctrlProp30.xml><?xml version="1.0" encoding="utf-8"?>
<formControlPr xmlns="http://schemas.microsoft.com/office/spreadsheetml/2009/9/main" objectType="CheckBox" fmlaLink="'B1-K1-W3'!$I$26" lockText="1" noThreeD="1"/>
</file>

<file path=xl/ctrlProps/ctrlProp31.xml><?xml version="1.0" encoding="utf-8"?>
<formControlPr xmlns="http://schemas.microsoft.com/office/spreadsheetml/2009/9/main" objectType="CheckBox" fmlaLink="'B1-K1-W3'!$J$26" lockText="1" noThreeD="1"/>
</file>

<file path=xl/ctrlProps/ctrlProp32.xml><?xml version="1.0" encoding="utf-8"?>
<formControlPr xmlns="http://schemas.microsoft.com/office/spreadsheetml/2009/9/main" objectType="CheckBox" checked="Checked" fmlaLink="'B1-K1-W3'!$K$26" lockText="1" noThreeD="1"/>
</file>

<file path=xl/ctrlProps/ctrlProp33.xml><?xml version="1.0" encoding="utf-8"?>
<formControlPr xmlns="http://schemas.microsoft.com/office/spreadsheetml/2009/9/main" objectType="CheckBox" fmlaLink="'B1-K1-W3'!$L$26" lockText="1" noThreeD="1"/>
</file>

<file path=xl/ctrlProps/ctrlProp34.xml><?xml version="1.0" encoding="utf-8"?>
<formControlPr xmlns="http://schemas.microsoft.com/office/spreadsheetml/2009/9/main" objectType="CheckBox" fmlaLink="'B1-K1-W3'!$I$27" lockText="1" noThreeD="1"/>
</file>

<file path=xl/ctrlProps/ctrlProp35.xml><?xml version="1.0" encoding="utf-8"?>
<formControlPr xmlns="http://schemas.microsoft.com/office/spreadsheetml/2009/9/main" objectType="CheckBox" fmlaLink="'B1-K1-W3'!$J$27" lockText="1" noThreeD="1"/>
</file>

<file path=xl/ctrlProps/ctrlProp36.xml><?xml version="1.0" encoding="utf-8"?>
<formControlPr xmlns="http://schemas.microsoft.com/office/spreadsheetml/2009/9/main" objectType="CheckBox" fmlaLink="'B1-K1-W3'!$K$27" lockText="1" noThreeD="1"/>
</file>

<file path=xl/ctrlProps/ctrlProp37.xml><?xml version="1.0" encoding="utf-8"?>
<formControlPr xmlns="http://schemas.microsoft.com/office/spreadsheetml/2009/9/main" objectType="CheckBox" checked="Checked" fmlaLink="'B1-K1-W3'!$L$27" lockText="1" noThreeD="1"/>
</file>

<file path=xl/ctrlProps/ctrlProp38.xml><?xml version="1.0" encoding="utf-8"?>
<formControlPr xmlns="http://schemas.microsoft.com/office/spreadsheetml/2009/9/main" objectType="CheckBox" fmlaLink="'B1-K1-W3'!$I$28" lockText="1" noThreeD="1"/>
</file>

<file path=xl/ctrlProps/ctrlProp39.xml><?xml version="1.0" encoding="utf-8"?>
<formControlPr xmlns="http://schemas.microsoft.com/office/spreadsheetml/2009/9/main" objectType="CheckBox" checked="Checked" fmlaLink="'B1-K1-W3'!$J$28" lockText="1" noThreeD="1"/>
</file>

<file path=xl/ctrlProps/ctrlProp40.xml><?xml version="1.0" encoding="utf-8"?>
<formControlPr xmlns="http://schemas.microsoft.com/office/spreadsheetml/2009/9/main" objectType="CheckBox" fmlaLink="'B1-K1-W3'!$K$28" lockText="1" noThreeD="1"/>
</file>

<file path=xl/ctrlProps/ctrlProp41.xml><?xml version="1.0" encoding="utf-8"?>
<formControlPr xmlns="http://schemas.microsoft.com/office/spreadsheetml/2009/9/main" objectType="CheckBox" fmlaLink="'B1-K1-W3'!$L$28" lockText="1" noThreeD="1"/>
</file>

<file path=xl/ctrlProps/ctrlProp42.xml><?xml version="1.0" encoding="utf-8"?>
<formControlPr xmlns="http://schemas.microsoft.com/office/spreadsheetml/2009/9/main" objectType="CheckBox" fmlaLink="'B1-K1-W3'!$I$29" lockText="1" noThreeD="1"/>
</file>

<file path=xl/ctrlProps/ctrlProp43.xml><?xml version="1.0" encoding="utf-8"?>
<formControlPr xmlns="http://schemas.microsoft.com/office/spreadsheetml/2009/9/main" objectType="CheckBox" checked="Checked" fmlaLink="'B1-K1-W3'!$J$29" lockText="1" noThreeD="1"/>
</file>

<file path=xl/ctrlProps/ctrlProp44.xml><?xml version="1.0" encoding="utf-8"?>
<formControlPr xmlns="http://schemas.microsoft.com/office/spreadsheetml/2009/9/main" objectType="CheckBox" fmlaLink="'B1-K1-W3'!$K$29" lockText="1" noThreeD="1"/>
</file>

<file path=xl/ctrlProps/ctrlProp45.xml><?xml version="1.0" encoding="utf-8"?>
<formControlPr xmlns="http://schemas.microsoft.com/office/spreadsheetml/2009/9/main" objectType="CheckBox" fmlaLink="'B1-K1-W3'!$L$29" lockText="1" noThreeD="1"/>
</file>

<file path=xl/ctrlProps/ctrlProp46.xml><?xml version="1.0" encoding="utf-8"?>
<formControlPr xmlns="http://schemas.microsoft.com/office/spreadsheetml/2009/9/main" objectType="CheckBox" checked="Checked" fmlaLink="'B1-K1-W3'!$H$35" lockText="1" noThreeD="1"/>
</file>

<file path=xl/ctrlProps/ctrlProp47.xml><?xml version="1.0" encoding="utf-8"?>
<formControlPr xmlns="http://schemas.microsoft.com/office/spreadsheetml/2009/9/main" objectType="CheckBox" fmlaLink="'B1-K1-W3'!$I$35" lockText="1" noThreeD="1"/>
</file>

<file path=xl/ctrlProps/ctrlProp48.xml><?xml version="1.0" encoding="utf-8"?>
<formControlPr xmlns="http://schemas.microsoft.com/office/spreadsheetml/2009/9/main" objectType="CheckBox" checked="Checked" fmlaLink="'B1-K1-W3'!$H$36" lockText="1" noThreeD="1"/>
</file>

<file path=xl/ctrlProps/ctrlProp49.xml><?xml version="1.0" encoding="utf-8"?>
<formControlPr xmlns="http://schemas.microsoft.com/office/spreadsheetml/2009/9/main" objectType="CheckBox" fmlaLink="'B1-K1-W3'!$I$36" lockText="1" noThreeD="1"/>
</file>

<file path=xl/ctrlProps/ctrlProp50.xml><?xml version="1.0" encoding="utf-8"?>
<formControlPr xmlns="http://schemas.microsoft.com/office/spreadsheetml/2009/9/main" objectType="CheckBox" checked="Checked" fmlaLink="'B1-K1-W3'!$H$40" lockText="1" noThreeD="1"/>
</file>

<file path=xl/ctrlProps/ctrlProp51.xml><?xml version="1.0" encoding="utf-8"?>
<formControlPr xmlns="http://schemas.microsoft.com/office/spreadsheetml/2009/9/main" objectType="CheckBox" fmlaLink="'B1-K1-W3'!$H$41"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fmlaLink="'B1-K1-W4'!$I$24" lockText="1" noThreeD="1"/>
</file>

<file path=xl/ctrlProps/ctrlProp55.xml><?xml version="1.0" encoding="utf-8"?>
<formControlPr xmlns="http://schemas.microsoft.com/office/spreadsheetml/2009/9/main" objectType="CheckBox" fmlaLink="'B1-K1-W4'!$J$24" lockText="1" noThreeD="1"/>
</file>

<file path=xl/ctrlProps/ctrlProp56.xml><?xml version="1.0" encoding="utf-8"?>
<formControlPr xmlns="http://schemas.microsoft.com/office/spreadsheetml/2009/9/main" objectType="CheckBox" fmlaLink="'B1-K1-W4'!$K$24" lockText="1" noThreeD="1"/>
</file>

<file path=xl/ctrlProps/ctrlProp57.xml><?xml version="1.0" encoding="utf-8"?>
<formControlPr xmlns="http://schemas.microsoft.com/office/spreadsheetml/2009/9/main" objectType="CheckBox" checked="Checked" fmlaLink="'B1-K1-W4'!$L$24" lockText="1" noThreeD="1"/>
</file>

<file path=xl/ctrlProps/ctrlProp58.xml><?xml version="1.0" encoding="utf-8"?>
<formControlPr xmlns="http://schemas.microsoft.com/office/spreadsheetml/2009/9/main" objectType="CheckBox" fmlaLink="'B1-K1-W4'!$I$25" lockText="1" noThreeD="1"/>
</file>

<file path=xl/ctrlProps/ctrlProp59.xml><?xml version="1.0" encoding="utf-8"?>
<formControlPr xmlns="http://schemas.microsoft.com/office/spreadsheetml/2009/9/main" objectType="CheckBox" fmlaLink="'B1-K1-W4'!$J$25" lockText="1" noThreeD="1"/>
</file>

<file path=xl/ctrlProps/ctrlProp60.xml><?xml version="1.0" encoding="utf-8"?>
<formControlPr xmlns="http://schemas.microsoft.com/office/spreadsheetml/2009/9/main" objectType="CheckBox" fmlaLink="'B1-K1-W4'!$K$25" lockText="1" noThreeD="1"/>
</file>

<file path=xl/ctrlProps/ctrlProp61.xml><?xml version="1.0" encoding="utf-8"?>
<formControlPr xmlns="http://schemas.microsoft.com/office/spreadsheetml/2009/9/main" objectType="CheckBox" checked="Checked" fmlaLink="'B1-K1-W4'!$L$25" lockText="1" noThreeD="1"/>
</file>

<file path=xl/ctrlProps/ctrlProp62.xml><?xml version="1.0" encoding="utf-8"?>
<formControlPr xmlns="http://schemas.microsoft.com/office/spreadsheetml/2009/9/main" objectType="CheckBox" fmlaLink="'B1-K1-W4'!$I$26" lockText="1" noThreeD="1"/>
</file>

<file path=xl/ctrlProps/ctrlProp63.xml><?xml version="1.0" encoding="utf-8"?>
<formControlPr xmlns="http://schemas.microsoft.com/office/spreadsheetml/2009/9/main" objectType="CheckBox" fmlaLink="'B1-K1-W4'!$J$26" lockText="1" noThreeD="1"/>
</file>

<file path=xl/ctrlProps/ctrlProp64.xml><?xml version="1.0" encoding="utf-8"?>
<formControlPr xmlns="http://schemas.microsoft.com/office/spreadsheetml/2009/9/main" objectType="CheckBox" checked="Checked" fmlaLink="'B1-K1-W4'!$K$26" lockText="1" noThreeD="1"/>
</file>

<file path=xl/ctrlProps/ctrlProp65.xml><?xml version="1.0" encoding="utf-8"?>
<formControlPr xmlns="http://schemas.microsoft.com/office/spreadsheetml/2009/9/main" objectType="CheckBox" fmlaLink="'B1-K1-W4'!$L$26"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2'!$I$24" lockText="1" noThreeD="1"/>
</file>

<file path=xl/ctrlProps/ctrlProp69.xml><?xml version="1.0" encoding="utf-8"?>
<formControlPr xmlns="http://schemas.microsoft.com/office/spreadsheetml/2009/9/main" objectType="CheckBox" fmlaLink="'B1-K1-W2'!$J$24" lockText="1" noThreeD="1"/>
</file>

<file path=xl/ctrlProps/ctrlProp70.xml><?xml version="1.0" encoding="utf-8"?>
<formControlPr xmlns="http://schemas.microsoft.com/office/spreadsheetml/2009/9/main" objectType="CheckBox" fmlaLink="'B1-K1-W2'!$K$24" lockText="1" noThreeD="1"/>
</file>

<file path=xl/ctrlProps/ctrlProp71.xml><?xml version="1.0" encoding="utf-8"?>
<formControlPr xmlns="http://schemas.microsoft.com/office/spreadsheetml/2009/9/main" objectType="CheckBox" checked="Checked" fmlaLink="'B1-K1-W2'!$L$24" lockText="1" noThreeD="1"/>
</file>

<file path=xl/ctrlProps/ctrlProp72.xml><?xml version="1.0" encoding="utf-8"?>
<formControlPr xmlns="http://schemas.microsoft.com/office/spreadsheetml/2009/9/main" objectType="CheckBox" checked="Checked" fmlaLink="'B1-K1-W2'!$I$25" lockText="1" noThreeD="1"/>
</file>

<file path=xl/ctrlProps/ctrlProp73.xml><?xml version="1.0" encoding="utf-8"?>
<formControlPr xmlns="http://schemas.microsoft.com/office/spreadsheetml/2009/9/main" objectType="CheckBox" fmlaLink="'B1-K1-W2'!$J$25" lockText="1" noThreeD="1"/>
</file>

<file path=xl/ctrlProps/ctrlProp74.xml><?xml version="1.0" encoding="utf-8"?>
<formControlPr xmlns="http://schemas.microsoft.com/office/spreadsheetml/2009/9/main" objectType="CheckBox" fmlaLink="'B1-K1-W2'!$K$25" lockText="1" noThreeD="1"/>
</file>

<file path=xl/ctrlProps/ctrlProp75.xml><?xml version="1.0" encoding="utf-8"?>
<formControlPr xmlns="http://schemas.microsoft.com/office/spreadsheetml/2009/9/main" objectType="CheckBox" fmlaLink="'B1-K1-W2'!$L$25" lockText="1" noThreeD="1"/>
</file>

<file path=xl/ctrlProps/ctrlProp76.xml><?xml version="1.0" encoding="utf-8"?>
<formControlPr xmlns="http://schemas.microsoft.com/office/spreadsheetml/2009/9/main" objectType="CheckBox" fmlaLink="'B1-K1-W2'!$I$26" lockText="1" noThreeD="1"/>
</file>

<file path=xl/ctrlProps/ctrlProp77.xml><?xml version="1.0" encoding="utf-8"?>
<formControlPr xmlns="http://schemas.microsoft.com/office/spreadsheetml/2009/9/main" objectType="CheckBox" fmlaLink="'B1-K1-W2'!$J$26" lockText="1" noThreeD="1"/>
</file>

<file path=xl/ctrlProps/ctrlProp78.xml><?xml version="1.0" encoding="utf-8"?>
<formControlPr xmlns="http://schemas.microsoft.com/office/spreadsheetml/2009/9/main" objectType="CheckBox" fmlaLink="'B1-K1-W2'!$K$26" lockText="1" noThreeD="1"/>
</file>

<file path=xl/ctrlProps/ctrlProp79.xml><?xml version="1.0" encoding="utf-8"?>
<formControlPr xmlns="http://schemas.microsoft.com/office/spreadsheetml/2009/9/main" objectType="CheckBox" checked="Checked" fmlaLink="'B1-K1-W2'!$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checked="Checked"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checked="Checked"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31.xml"/><Relationship Id="rId18" Type="http://schemas.openxmlformats.org/officeDocument/2006/relationships/ctrlProp" Target="../ctrlProps/ctrlProp36.xml"/><Relationship Id="rId26" Type="http://schemas.openxmlformats.org/officeDocument/2006/relationships/ctrlProp" Target="../ctrlProps/ctrlProp44.xml"/><Relationship Id="rId3" Type="http://schemas.openxmlformats.org/officeDocument/2006/relationships/vmlDrawing" Target="../drawings/vmlDrawing6.vml"/><Relationship Id="rId21" Type="http://schemas.openxmlformats.org/officeDocument/2006/relationships/ctrlProp" Target="../ctrlProps/ctrlProp39.xml"/><Relationship Id="rId34" Type="http://schemas.openxmlformats.org/officeDocument/2006/relationships/ctrlProp" Target="../ctrlProps/ctrlProp52.x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2" Type="http://schemas.openxmlformats.org/officeDocument/2006/relationships/drawing" Target="../drawings/drawing4.xml"/><Relationship Id="rId16" Type="http://schemas.openxmlformats.org/officeDocument/2006/relationships/ctrlProp" Target="../ctrlProps/ctrlProp34.xml"/><Relationship Id="rId20" Type="http://schemas.openxmlformats.org/officeDocument/2006/relationships/ctrlProp" Target="../ctrlProps/ctrlProp38.xml"/><Relationship Id="rId29" Type="http://schemas.openxmlformats.org/officeDocument/2006/relationships/ctrlProp" Target="../ctrlProps/ctrlProp4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24" Type="http://schemas.openxmlformats.org/officeDocument/2006/relationships/ctrlProp" Target="../ctrlProps/ctrlProp42.xml"/><Relationship Id="rId32" Type="http://schemas.openxmlformats.org/officeDocument/2006/relationships/ctrlProp" Target="../ctrlProps/ctrlProp50.xml"/><Relationship Id="rId5" Type="http://schemas.openxmlformats.org/officeDocument/2006/relationships/ctrlProp" Target="../ctrlProps/ctrlProp23.xml"/><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omments" Target="../comments4.xml"/><Relationship Id="rId10" Type="http://schemas.openxmlformats.org/officeDocument/2006/relationships/ctrlProp" Target="../ctrlProps/ctrlProp28.xml"/><Relationship Id="rId19" Type="http://schemas.openxmlformats.org/officeDocument/2006/relationships/ctrlProp" Target="../ctrlProps/ctrlProp37.xml"/><Relationship Id="rId31" Type="http://schemas.openxmlformats.org/officeDocument/2006/relationships/ctrlProp" Target="../ctrlProps/ctrlProp49.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8"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 Type="http://schemas.openxmlformats.org/officeDocument/2006/relationships/drawing" Target="../drawings/drawing5.xml"/><Relationship Id="rId16" Type="http://schemas.openxmlformats.org/officeDocument/2006/relationships/ctrlProp" Target="../ctrlProps/ctrlProp66.xml"/><Relationship Id="rId1" Type="http://schemas.openxmlformats.org/officeDocument/2006/relationships/printerSettings" Target="../printerSettings/printerSettings8.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opLeftCell="A76" workbookViewId="0">
      <selection activeCell="B21" sqref="B21:C21"/>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45590</v>
      </c>
      <c r="C16" s="114"/>
      <c r="D16" s="78" t="s">
        <v>136</v>
      </c>
    </row>
    <row r="17" spans="1:4" x14ac:dyDescent="0.3">
      <c r="A17" s="77" t="s">
        <v>38</v>
      </c>
      <c r="B17" s="107" t="s">
        <v>211</v>
      </c>
      <c r="C17" s="108"/>
    </row>
    <row r="18" spans="1:4" x14ac:dyDescent="0.3">
      <c r="A18" s="77" t="s">
        <v>39</v>
      </c>
      <c r="B18" s="115"/>
      <c r="C18" s="116"/>
    </row>
    <row r="19" spans="1:4" x14ac:dyDescent="0.3">
      <c r="A19" s="77" t="s">
        <v>40</v>
      </c>
      <c r="B19" s="107" t="s">
        <v>212</v>
      </c>
      <c r="C19" s="108"/>
    </row>
    <row r="20" spans="1:4" x14ac:dyDescent="0.3">
      <c r="A20" s="77" t="s">
        <v>137</v>
      </c>
      <c r="B20" s="107" t="s">
        <v>213</v>
      </c>
      <c r="C20" s="108"/>
    </row>
    <row r="21" spans="1:4" x14ac:dyDescent="0.3">
      <c r="A21" s="77" t="s">
        <v>138</v>
      </c>
      <c r="B21" s="107" t="s">
        <v>214</v>
      </c>
      <c r="C21" s="108"/>
    </row>
    <row r="22" spans="1:4" ht="15" thickBot="1" x14ac:dyDescent="0.35"/>
    <row r="23" spans="1:4" ht="15" thickBot="1" x14ac:dyDescent="0.35">
      <c r="A23" s="95" t="s">
        <v>26</v>
      </c>
      <c r="B23" s="94" t="s">
        <v>139</v>
      </c>
      <c r="C23" s="109" t="s">
        <v>140</v>
      </c>
    </row>
    <row r="24" spans="1:4" x14ac:dyDescent="0.3">
      <c r="A24" s="77" t="s">
        <v>63</v>
      </c>
      <c r="B24" s="79">
        <f>'B1-K1-W1'!B45</f>
        <v>7.8</v>
      </c>
      <c r="C24" s="109"/>
    </row>
    <row r="25" spans="1:4" x14ac:dyDescent="0.3">
      <c r="A25" s="77" t="s">
        <v>65</v>
      </c>
      <c r="B25" s="79">
        <f>IF('B1-K1-W2'!E30=TRUE,'B1-K1-W2'!B46,"")</f>
        <v>7</v>
      </c>
      <c r="C25" s="109"/>
    </row>
    <row r="26" spans="1:4" x14ac:dyDescent="0.3">
      <c r="A26" s="77" t="s">
        <v>67</v>
      </c>
      <c r="B26" s="79">
        <f>IF('B1-K1-W3'!E33=TRUE,'B1-K1-W3'!B64,"")</f>
        <v>7</v>
      </c>
      <c r="C26" s="109"/>
    </row>
    <row r="27" spans="1:4" x14ac:dyDescent="0.3">
      <c r="A27" s="77" t="s">
        <v>69</v>
      </c>
      <c r="B27" s="79">
        <f>'B1-K1-W4'!B41</f>
        <v>9</v>
      </c>
      <c r="C27" s="109"/>
    </row>
    <row r="28" spans="1:4" x14ac:dyDescent="0.3">
      <c r="A28" s="77" t="s">
        <v>71</v>
      </c>
      <c r="B28" s="79" t="str">
        <f>IF('B1-K1-W5'!E35=TRUE,'B1-K1-W5'!B52,"")</f>
        <v/>
      </c>
      <c r="C28" s="109"/>
    </row>
    <row r="29" spans="1:4" x14ac:dyDescent="0.3">
      <c r="A29" s="16"/>
      <c r="B29" s="89"/>
      <c r="C29" s="88"/>
      <c r="D29" s="92"/>
    </row>
    <row r="30" spans="1:4" x14ac:dyDescent="0.3">
      <c r="A30" s="90" t="s">
        <v>141</v>
      </c>
      <c r="B30" s="91" t="str" cm="1">
        <f t="array" ref="B30">IF(OR(B24:B28&lt;5.5),1,IF(OR(B24:B28=""),"",(AVERAGE(B24:B28))))</f>
        <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50" workbookViewId="0">
      <selection activeCell="D69" sqref="D6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erim</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amerecnio</v>
      </c>
      <c r="D18" s="10"/>
      <c r="E18" s="10"/>
      <c r="F18" s="10"/>
      <c r="G18" s="14"/>
    </row>
    <row r="19" spans="1:15" ht="22.5" customHeight="1" x14ac:dyDescent="0.3">
      <c r="B19" s="77" t="s">
        <v>138</v>
      </c>
      <c r="C19" s="84" t="str">
        <f>IF(Voorblad!B21="","",Voorblad!B21)</f>
        <v>amerencio</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t="b">
        <v>1</v>
      </c>
      <c r="J24" s="59"/>
      <c r="K24" s="59" t="b">
        <v>0</v>
      </c>
      <c r="L24" s="59"/>
      <c r="M24" s="59">
        <f>IF(L24=TRUE,3,IF(K24=TRUE,2,IF(J24=TRUE,1,IF(I24=TRUE,0,0))))</f>
        <v>0</v>
      </c>
      <c r="N24" s="59">
        <f>(4-COUNTBLANK(D24:G24))-1</f>
        <v>3</v>
      </c>
      <c r="O24" s="59">
        <f>COUNTA(I24:L24)</f>
        <v>2</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X</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7.8</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6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erim</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amerecnio</v>
      </c>
      <c r="D18" s="10"/>
      <c r="E18" s="10"/>
      <c r="F18" s="10"/>
      <c r="G18" s="14"/>
    </row>
    <row r="19" spans="1:15" ht="22.5" customHeight="1" x14ac:dyDescent="0.3">
      <c r="B19" s="77" t="s">
        <v>138</v>
      </c>
      <c r="C19" s="84" t="str">
        <f>IF(Voorblad!B21="","",Voorblad!B21)</f>
        <v>amerencio</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t="b">
        <v>0</v>
      </c>
      <c r="K27" s="59" t="b">
        <v>0</v>
      </c>
      <c r="L27" s="59" t="b">
        <v>1</v>
      </c>
      <c r="M27" s="59">
        <f t="shared" si="0"/>
        <v>3</v>
      </c>
      <c r="N27" s="59">
        <f t="shared" si="1"/>
        <v>3</v>
      </c>
      <c r="O27" s="59">
        <f t="shared" si="2"/>
        <v>4</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t="b">
        <v>1</v>
      </c>
      <c r="K28" s="59" t="b">
        <v>0</v>
      </c>
      <c r="L28" s="59" t="b">
        <v>0</v>
      </c>
      <c r="M28" s="59">
        <f t="shared" si="0"/>
        <v>1</v>
      </c>
      <c r="N28" s="59">
        <f t="shared" si="1"/>
        <v>3</v>
      </c>
      <c r="O28" s="59">
        <f t="shared" si="2"/>
        <v>4</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1</v>
      </c>
      <c r="K29" s="59" t="b">
        <v>0</v>
      </c>
      <c r="L29" s="59"/>
      <c r="M29" s="59">
        <f t="shared" si="0"/>
        <v>1</v>
      </c>
      <c r="N29" s="59">
        <f t="shared" si="1"/>
        <v>3</v>
      </c>
      <c r="O29" s="59">
        <f t="shared" si="2"/>
        <v>2</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X</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7</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46" workbookViewId="0">
      <selection activeCell="G24" sqref="G24"/>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erim</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amerecnio</v>
      </c>
      <c r="D18" s="10"/>
      <c r="E18" s="10"/>
      <c r="F18" s="10"/>
      <c r="G18" s="14"/>
    </row>
    <row r="19" spans="1:15" ht="22.5" customHeight="1" x14ac:dyDescent="0.3">
      <c r="B19" s="77" t="s">
        <v>138</v>
      </c>
      <c r="C19" s="84" t="str">
        <f>IF(Voorblad!B21="","",Voorblad!B21)</f>
        <v>amerencio</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1</v>
      </c>
      <c r="L26" s="59" t="b">
        <v>0</v>
      </c>
      <c r="M26" s="59">
        <f>IF(L26=TRUE,3,IF(K26=TRUE,2,IF(J26=TRUE,1,IF(I26=TRUE,0,0))))</f>
        <v>2</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X</v>
      </c>
    </row>
    <row r="40" spans="2:7" x14ac:dyDescent="0.3">
      <c r="B40" s="69">
        <v>9</v>
      </c>
      <c r="C40" s="70">
        <f t="shared" si="0"/>
        <v>10</v>
      </c>
      <c r="D40" s="62" t="str">
        <f t="shared" si="1"/>
        <v/>
      </c>
    </row>
    <row r="41" spans="2:7" hidden="1" x14ac:dyDescent="0.3">
      <c r="B41" s="69">
        <f>IF(D31="X","",IF(D32="X",C32,IF(D33="X",C33,IF(D34="X",C34,IF(D35="X",C35,IF(D36="X",C36,IF(D37="X",C37,IF(D38="X",C38,IF(D39="X",C39,IF(D40="X",C40,""))))))))))</f>
        <v>9</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51" workbookViewId="0">
      <selection activeCell="E26" sqref="E2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erim</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amerecnio</v>
      </c>
      <c r="D18" s="10"/>
      <c r="E18" s="10"/>
      <c r="F18" s="10"/>
      <c r="G18" s="14"/>
    </row>
    <row r="19" spans="1:15" ht="22.5" customHeight="1" x14ac:dyDescent="0.3">
      <c r="B19" s="77" t="s">
        <v>138</v>
      </c>
      <c r="C19" s="84" t="str">
        <f>IF(Voorblad!B21="","",Voorblad!B21)</f>
        <v>amerencio</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c r="K25" s="59" t="b">
        <v>0</v>
      </c>
      <c r="L25" s="59" t="b">
        <v>0</v>
      </c>
      <c r="M25" s="59">
        <f>IF(L25=TRUE,3,IF(K25=TRUE,2,IF(J25=TRUE,1,IF(I25=TRUE,0,0))))</f>
        <v>0</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X</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7</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34"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7</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erim</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amerecnio</v>
      </c>
      <c r="D18" s="10"/>
      <c r="E18" s="10"/>
      <c r="F18" s="10"/>
      <c r="G18" s="14"/>
    </row>
    <row r="19" spans="1:15" ht="22.5" customHeight="1" x14ac:dyDescent="0.3">
      <c r="B19" s="77" t="s">
        <v>138</v>
      </c>
      <c r="C19" s="84" t="str">
        <f>IF(Voorblad!B21="","",Voorblad!B21)</f>
        <v>amerencio</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1</v>
      </c>
      <c r="L25" s="59" t="b">
        <v>0</v>
      </c>
      <c r="M25" s="59">
        <f>IF(L25=TRUE,3,IF(K25=TRUE,2,IF(J25=TRUE,1,IF(I25=TRUE,0,0))))</f>
        <v>2</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t="b">
        <v>1</v>
      </c>
      <c r="M26" s="59">
        <f>IF(L26=TRUE,3,IF(K26=TRUE,2,IF(J26=TRUE,1,IF(I26=TRUE,0,0))))</f>
        <v>3</v>
      </c>
      <c r="N26" s="59">
        <f>(4-COUNTBLANK(D26:G26))-1</f>
        <v>3</v>
      </c>
      <c r="O26" s="59">
        <f>COUNTA(I26:L26)</f>
        <v>2</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0</v>
      </c>
      <c r="K31" s="59"/>
      <c r="L31" s="59"/>
      <c r="M31" s="59">
        <f>IF(L31=TRUE,3,IF(K31=TRUE,2,IF(J31=TRUE,1,IF(I31=TRUE,0,0))))</f>
        <v>0</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0</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Niet behaald</v>
      </c>
      <c r="J37" s="59" t="b">
        <f>IF(VLOOKUP($A37,$A$21:$N$32,13,FALSE)&gt;0,TRUE,FALSE)</f>
        <v>0</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X</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7.3</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B1-K1-W3</vt:lpstr>
      <vt:lpstr>B1-K1-W4</vt:lpstr>
      <vt:lpstr>B1-K1-W2</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Amerencio Windzak</cp:lastModifiedBy>
  <cp:revision/>
  <dcterms:created xsi:type="dcterms:W3CDTF">2015-10-30T11:14:52Z</dcterms:created>
  <dcterms:modified xsi:type="dcterms:W3CDTF">2024-10-25T08:40:36Z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